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4" codeName="{3D1A710C-6663-3D7B-7F91-EC182F24A4B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dmin\Downloads\New\MapUp-Data-Assessment-E\assessment\"/>
    </mc:Choice>
  </mc:AlternateContent>
  <xr:revisionPtr revIDLastSave="0" documentId="13_ncr:1_{921D1CE8-99EC-4DCE-B5FB-32B30FF56E9A}" xr6:coauthVersionLast="36" xr6:coauthVersionMax="47" xr10:uidLastSave="{00000000-0000-0000-0000-000000000000}"/>
  <bookViews>
    <workbookView xWindow="0" yWindow="504" windowWidth="29400" windowHeight="16296" tabRatio="408" activeTab="1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Dataset!$A$1:$X$1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2" i="19" l="1"/>
  <c r="D13" i="19"/>
  <c r="D14" i="19"/>
  <c r="D15" i="19"/>
  <c r="D16" i="19"/>
  <c r="D17" i="19"/>
  <c r="D18" i="19"/>
  <c r="D19" i="19"/>
  <c r="D20" i="19"/>
  <c r="D21" i="19"/>
  <c r="D12" i="19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B15" i="18"/>
  <c r="B14" i="18"/>
  <c r="B13" i="18"/>
  <c r="B12" i="18"/>
  <c r="B11" i="18"/>
  <c r="B10" i="18"/>
  <c r="B9" i="18"/>
  <c r="B8" i="18"/>
  <c r="B7" i="18"/>
  <c r="B6" i="18"/>
  <c r="B29" i="18" l="1"/>
  <c r="D30" i="18"/>
  <c r="C30" i="18"/>
  <c r="F30" i="18"/>
  <c r="E28" i="18"/>
  <c r="B30" i="18"/>
  <c r="E29" i="18"/>
  <c r="C28" i="18"/>
  <c r="E30" i="18"/>
  <c r="C29" i="18"/>
  <c r="F28" i="18"/>
  <c r="F29" i="18"/>
  <c r="D28" i="18"/>
  <c r="D29" i="18"/>
  <c r="B28" i="18"/>
  <c r="H42" i="1"/>
</calcChain>
</file>

<file path=xl/sharedStrings.xml><?xml version="1.0" encoding="utf-8"?>
<sst xmlns="http://schemas.openxmlformats.org/spreadsheetml/2006/main" count="408" uniqueCount="185">
  <si>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</si>
  <si>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</si>
  <si>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</si>
  <si>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</si>
  <si>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</si>
  <si>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</si>
  <si>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</si>
  <si>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</si>
  <si>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</si>
  <si>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</si>
  <si>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</si>
  <si>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</si>
  <si>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</si>
  <si>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</si>
  <si>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</si>
  <si>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</si>
  <si>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</si>
  <si>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</si>
  <si>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</si>
  <si>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</si>
  <si>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</si>
  <si>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</si>
  <si>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</si>
  <si>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</si>
  <si>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</si>
  <si>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</si>
  <si>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</si>
  <si>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</si>
  <si>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</si>
  <si>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</si>
  <si>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</si>
  <si>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</si>
  <si>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</si>
  <si>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</si>
  <si>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</si>
  <si>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</si>
  <si>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</si>
  <si>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</si>
  <si>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</si>
  <si>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</si>
  <si>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</si>
  <si>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</si>
  <si>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</si>
  <si>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</si>
  <si>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</si>
  <si>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</si>
  <si>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</si>
  <si>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</si>
  <si>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</si>
  <si>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</si>
  <si>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</si>
  <si>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</si>
  <si>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</si>
  <si>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</si>
  <si>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</si>
  <si>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</si>
  <si>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</si>
  <si>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</si>
  <si>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</si>
  <si>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</si>
  <si>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</si>
  <si>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</si>
  <si>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</si>
  <si>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</si>
  <si>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</si>
  <si>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</si>
  <si>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</si>
  <si>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</si>
  <si>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</si>
  <si>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</si>
  <si>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</si>
  <si>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</si>
  <si>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</si>
  <si>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</si>
  <si>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</si>
  <si>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</si>
  <si>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</si>
  <si>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</si>
  <si>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</si>
  <si>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</si>
  <si>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</si>
  <si>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</si>
  <si>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</si>
  <si>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</si>
  <si>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</si>
  <si>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</si>
  <si>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</si>
  <si>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</si>
  <si>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</si>
  <si>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</si>
  <si>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</si>
  <si>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</si>
  <si>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</si>
  <si>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</si>
  <si>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</si>
  <si>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</si>
  <si>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</si>
  <si>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</si>
  <si>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</si>
  <si>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</si>
  <si>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</si>
  <si>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</si>
  <si>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</si>
  <si>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</si>
  <si>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</si>
  <si>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</si>
  <si>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</si>
  <si>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</si>
  <si>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</si>
  <si>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</si>
  <si>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</si>
  <si>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</si>
  <si>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</si>
  <si>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</si>
  <si>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</si>
  <si>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</si>
  <si>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</si>
  <si>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</si>
  <si>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</si>
  <si>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</si>
  <si>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</si>
  <si>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</si>
  <si>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</si>
  <si>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</si>
  <si>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</si>
  <si>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</si>
  <si>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</si>
  <si>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</si>
  <si>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</si>
  <si>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</si>
  <si>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</si>
  <si>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</si>
  <si>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</si>
  <si>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</si>
  <si>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</si>
  <si>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</si>
  <si>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</si>
  <si>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</si>
  <si>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</si>
  <si>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</si>
  <si>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</si>
  <si>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</si>
  <si>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</si>
  <si>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</si>
  <si>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</si>
  <si>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</si>
  <si>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</si>
  <si>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</si>
  <si>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</si>
  <si>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</si>
  <si>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</si>
  <si>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</si>
  <si>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</si>
  <si>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</si>
  <si>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</si>
  <si>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</si>
  <si>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</si>
  <si>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</si>
  <si>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</si>
  <si>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</si>
  <si>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</si>
  <si>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</si>
  <si>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</si>
  <si>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</si>
  <si>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</si>
  <si>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</si>
  <si>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</si>
  <si>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</si>
  <si>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</si>
  <si>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</si>
  <si>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</si>
  <si>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</si>
  <si>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</si>
  <si>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</si>
  <si>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</si>
  <si>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</si>
  <si>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</si>
  <si>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 xml:space="preserve">  =SUMIF(H2:H40,"&gt;20")</t>
  </si>
  <si>
    <t>select specific part from first row first column, for example "20000", then paste it in col_1 first row.</t>
  </si>
  <si>
    <t>select all rows in col_1 , then hit ctrl+E</t>
  </si>
  <si>
    <t>Follow similar pattern for col_3,col_4,col_5 and col_6</t>
  </si>
  <si>
    <t>Excel shortcut</t>
  </si>
  <si>
    <t>custom_col_to_replace_values</t>
  </si>
  <si>
    <t>Created custom column which replaces #N/A with "20" using formula "=IFNA(C12,20)"</t>
  </si>
  <si>
    <t>Then sum up the results of custom column using "=SUM(D12:D21)"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</si>
</sst>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0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5" xfId="0" applyFont="1" applyBorder="1"/>
    <xf numFmtId="0" fontId="3" fillId="6" borderId="0" xfId="0" applyFont="1" applyFill="1"/>
    <xf numFmtId="0" fontId="3" fillId="7" borderId="0" xfId="0" applyFont="1" applyFill="1"/>
    <xf numFmtId="166" fontId="7" fillId="0" borderId="0" xfId="0" applyNumberFormat="1" applyFont="1"/>
    <xf numFmtId="166" fontId="3" fillId="0" borderId="0" xfId="0" applyNumberFormat="1" applyFont="1"/>
    <xf numFmtId="0" fontId="3" fillId="0" borderId="0" xfId="0" applyFont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="120" zoomScaleNormal="120" workbookViewId="0">
      <selection activeCell="A4" sqref="A4"/>
    </sheetView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5" t="s">
        <v>171</v>
      </c>
      <c r="B9" s="25" t="s">
        <v>169</v>
      </c>
    </row>
    <row r="10" spans="1:3" x14ac:dyDescent="0.3">
      <c r="A10" s="34" t="s">
        <v>172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2"/>
  <sheetViews>
    <sheetView tabSelected="1" zoomScaleNormal="100" workbookViewId="0">
      <pane ySplit="1" topLeftCell="A26" activePane="bottomLeft" state="frozen"/>
      <selection pane="bottomLeft" activeCell="J44" sqref="J44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3" customWidth="1"/>
    <col min="5" max="5" width="9.21875" style="1" bestFit="1" customWidth="1"/>
    <col min="6" max="6" width="10.44140625" style="23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8" bestFit="1" customWidth="1"/>
    <col min="25" max="16384" width="9" style="1"/>
  </cols>
  <sheetData>
    <row r="1" spans="1:24" s="3" customFormat="1" ht="14.7" customHeight="1" x14ac:dyDescent="0.3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7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45">
        <v>-1</v>
      </c>
      <c r="K2" s="45">
        <v>-1</v>
      </c>
      <c r="L2" s="45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8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45">
        <v>-1</v>
      </c>
      <c r="K3" s="45">
        <v>-1</v>
      </c>
      <c r="L3" s="45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8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45">
        <v>-1</v>
      </c>
      <c r="K4" s="45">
        <v>-1</v>
      </c>
      <c r="L4" s="45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8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45">
        <v>-1</v>
      </c>
      <c r="K5" s="45">
        <v>-1</v>
      </c>
      <c r="L5" s="45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8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45">
        <v>-1</v>
      </c>
      <c r="K6" s="45">
        <v>-1</v>
      </c>
      <c r="L6" s="45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8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45">
        <v>-1</v>
      </c>
      <c r="K7" s="45">
        <v>-1</v>
      </c>
      <c r="L7" s="45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8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45">
        <v>-1</v>
      </c>
      <c r="K8" s="45">
        <v>-1</v>
      </c>
      <c r="L8" s="45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8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45">
        <v>-1</v>
      </c>
      <c r="K9" s="45">
        <v>-1</v>
      </c>
      <c r="L9" s="45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8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45">
        <v>-1</v>
      </c>
      <c r="K10" s="45">
        <v>-1</v>
      </c>
      <c r="L10" s="45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8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45">
        <v>-1</v>
      </c>
      <c r="K11" s="45">
        <v>-1</v>
      </c>
      <c r="L11" s="45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8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46">
        <v>0</v>
      </c>
      <c r="H12" s="46">
        <v>0</v>
      </c>
      <c r="I12" s="46">
        <v>0</v>
      </c>
      <c r="J12" s="46">
        <v>0</v>
      </c>
      <c r="K12" s="46">
        <v>0</v>
      </c>
      <c r="L12" s="46">
        <v>0</v>
      </c>
      <c r="M12" s="46">
        <v>0</v>
      </c>
      <c r="N12" s="46">
        <v>0</v>
      </c>
      <c r="O12" s="46">
        <v>0</v>
      </c>
      <c r="P12" s="46">
        <v>0</v>
      </c>
      <c r="Q12" s="46">
        <v>0</v>
      </c>
      <c r="R12" s="46">
        <v>0</v>
      </c>
      <c r="S12" s="46">
        <v>0</v>
      </c>
      <c r="T12" s="46">
        <v>0</v>
      </c>
      <c r="U12" s="46">
        <v>0</v>
      </c>
      <c r="V12" s="46">
        <v>0</v>
      </c>
      <c r="W12" s="46">
        <v>0</v>
      </c>
      <c r="X12" s="48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45">
        <v>-1</v>
      </c>
      <c r="K13" s="45">
        <v>-1</v>
      </c>
      <c r="L13" s="45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8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45">
        <v>-1</v>
      </c>
      <c r="K14" s="45">
        <v>-1</v>
      </c>
      <c r="L14" s="45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8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45">
        <v>-1</v>
      </c>
      <c r="K15" s="45">
        <v>-1</v>
      </c>
      <c r="L15" s="45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8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45">
        <v>-1</v>
      </c>
      <c r="K16" s="45">
        <v>-1</v>
      </c>
      <c r="L16" s="45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8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45">
        <v>-1</v>
      </c>
      <c r="K17" s="45">
        <v>-1</v>
      </c>
      <c r="L17" s="45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8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45">
        <v>-1</v>
      </c>
      <c r="K18" s="45">
        <v>-1</v>
      </c>
      <c r="L18" s="45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8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45">
        <v>-1</v>
      </c>
      <c r="K19" s="45">
        <v>-1</v>
      </c>
      <c r="L19" s="45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8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45">
        <v>-1</v>
      </c>
      <c r="K20" s="45">
        <v>-1</v>
      </c>
      <c r="L20" s="45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8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45">
        <v>-1</v>
      </c>
      <c r="K21" s="45">
        <v>-1</v>
      </c>
      <c r="L21" s="45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8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45">
        <v>-1</v>
      </c>
      <c r="K22" s="45">
        <v>-1</v>
      </c>
      <c r="L22" s="45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8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45">
        <v>-1</v>
      </c>
      <c r="K23" s="45">
        <v>-1</v>
      </c>
      <c r="L23" s="45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8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45">
        <v>-1</v>
      </c>
      <c r="K24" s="45">
        <v>-1</v>
      </c>
      <c r="L24" s="45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8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45">
        <v>-1</v>
      </c>
      <c r="K25" s="45">
        <v>-1</v>
      </c>
      <c r="L25" s="45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8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46">
        <v>0</v>
      </c>
      <c r="H26" s="46">
        <v>0</v>
      </c>
      <c r="I26" s="46">
        <v>0</v>
      </c>
      <c r="J26" s="46">
        <v>0</v>
      </c>
      <c r="K26" s="46">
        <v>0</v>
      </c>
      <c r="L26" s="46">
        <v>0</v>
      </c>
      <c r="M26" s="46">
        <v>0</v>
      </c>
      <c r="N26" s="46">
        <v>0</v>
      </c>
      <c r="O26" s="46">
        <v>0</v>
      </c>
      <c r="P26" s="46">
        <v>0</v>
      </c>
      <c r="Q26" s="46">
        <v>0</v>
      </c>
      <c r="R26" s="46">
        <v>0</v>
      </c>
      <c r="S26" s="46">
        <v>0</v>
      </c>
      <c r="T26" s="46">
        <v>0</v>
      </c>
      <c r="U26" s="46">
        <v>0</v>
      </c>
      <c r="V26" s="46">
        <v>0</v>
      </c>
      <c r="W26" s="46">
        <v>0</v>
      </c>
      <c r="X26" s="48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45">
        <v>-1</v>
      </c>
      <c r="K27" s="45">
        <v>-1</v>
      </c>
      <c r="L27" s="45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8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45">
        <v>-1</v>
      </c>
      <c r="K28" s="45">
        <v>-1</v>
      </c>
      <c r="L28" s="45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8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45">
        <v>-1</v>
      </c>
      <c r="K29" s="45">
        <v>-1</v>
      </c>
      <c r="L29" s="45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8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45">
        <v>-1</v>
      </c>
      <c r="H30" s="45">
        <v>-1</v>
      </c>
      <c r="I30" s="45">
        <v>-1</v>
      </c>
      <c r="J30" s="45">
        <v>-1</v>
      </c>
      <c r="K30" s="45">
        <v>-1</v>
      </c>
      <c r="L30" s="45">
        <v>-1</v>
      </c>
      <c r="M30" s="45">
        <v>-1</v>
      </c>
      <c r="N30" s="45">
        <v>-1</v>
      </c>
      <c r="O30" s="45">
        <v>-1</v>
      </c>
      <c r="P30" s="45">
        <v>-1</v>
      </c>
      <c r="Q30" s="45">
        <v>-1</v>
      </c>
      <c r="R30" s="45">
        <v>-1</v>
      </c>
      <c r="S30" s="45">
        <v>-1</v>
      </c>
      <c r="T30" s="45">
        <v>-1</v>
      </c>
      <c r="U30" s="45">
        <v>-1</v>
      </c>
      <c r="V30" s="45">
        <v>-1</v>
      </c>
      <c r="W30" s="45">
        <v>-1</v>
      </c>
      <c r="X30" s="48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45">
        <v>-1</v>
      </c>
      <c r="K31" s="45">
        <v>-1</v>
      </c>
      <c r="L31" s="45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8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45">
        <v>-1</v>
      </c>
      <c r="H32" s="45">
        <v>-1</v>
      </c>
      <c r="I32" s="45">
        <v>-1</v>
      </c>
      <c r="J32" s="45">
        <v>-1</v>
      </c>
      <c r="K32" s="45">
        <v>-1</v>
      </c>
      <c r="L32" s="45">
        <v>-1</v>
      </c>
      <c r="M32" s="45">
        <v>-1</v>
      </c>
      <c r="N32" s="45">
        <v>-1</v>
      </c>
      <c r="O32" s="45">
        <v>-1</v>
      </c>
      <c r="P32" s="45">
        <v>-1</v>
      </c>
      <c r="Q32" s="45">
        <v>-1</v>
      </c>
      <c r="R32" s="45">
        <v>-1</v>
      </c>
      <c r="S32" s="45">
        <v>-1</v>
      </c>
      <c r="T32" s="45">
        <v>-1</v>
      </c>
      <c r="U32" s="45">
        <v>-1</v>
      </c>
      <c r="V32" s="45">
        <v>-1</v>
      </c>
      <c r="W32" s="45">
        <v>-1</v>
      </c>
      <c r="X32" s="48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45">
        <v>-1</v>
      </c>
      <c r="K33" s="45">
        <v>-1</v>
      </c>
      <c r="L33" s="45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8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45">
        <v>-1</v>
      </c>
      <c r="K34" s="45">
        <v>-1</v>
      </c>
      <c r="L34" s="45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8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45">
        <v>-1</v>
      </c>
      <c r="K35" s="45">
        <v>-1</v>
      </c>
      <c r="L35" s="45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8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45">
        <v>-1</v>
      </c>
      <c r="K36" s="45">
        <v>-1</v>
      </c>
      <c r="L36" s="45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8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45">
        <v>-1</v>
      </c>
      <c r="K37" s="45">
        <v>-1</v>
      </c>
      <c r="L37" s="45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8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45">
        <v>-1</v>
      </c>
      <c r="K38" s="45">
        <v>-1</v>
      </c>
      <c r="L38" s="45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8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45">
        <v>-1</v>
      </c>
      <c r="K39" s="45">
        <v>-1</v>
      </c>
      <c r="L39" s="45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8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45">
        <v>-1</v>
      </c>
      <c r="K40" s="45">
        <v>-1</v>
      </c>
      <c r="L40" s="45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8">
        <v>45162</v>
      </c>
    </row>
    <row r="41" spans="1:24" x14ac:dyDescent="0.3">
      <c r="H41" s="3"/>
    </row>
    <row r="42" spans="1:24" x14ac:dyDescent="0.3">
      <c r="H42" s="3">
        <f>SUMIF(H2:H40,"&gt;20")</f>
        <v>1473.0000000000002</v>
      </c>
    </row>
  </sheetData>
  <conditionalFormatting sqref="A1:A1048576">
    <cfRule type="duplicateValues" dxfId="1" priority="2"/>
  </conditionalFormatting>
  <conditionalFormatting sqref="B1:B1048576">
    <cfRule type="duplicateValues" dxfId="0" priority="1"/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="120" zoomScaleNormal="120" workbookViewId="0">
      <selection activeCell="C14" sqref="C14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3" t="s">
        <v>177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7" zoomScale="90" zoomScaleNormal="90" workbookViewId="0">
      <selection activeCell="F31" sqref="F31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0" customFormat="1" ht="21" x14ac:dyDescent="0.4">
      <c r="A1" s="41" t="s">
        <v>55</v>
      </c>
      <c r="B1" s="40" t="s">
        <v>164</v>
      </c>
    </row>
    <row r="2" spans="1:7" s="40" customFormat="1" ht="21" x14ac:dyDescent="0.4">
      <c r="B2" s="40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7" t="s">
        <v>162</v>
      </c>
      <c r="B4" s="1"/>
      <c r="C4" s="1"/>
      <c r="D4" s="1"/>
      <c r="E4" s="1"/>
      <c r="F4" s="1"/>
      <c r="G4" s="1"/>
    </row>
    <row r="5" spans="1:7" ht="14.4" x14ac:dyDescent="0.3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4" x14ac:dyDescent="0.3">
      <c r="A6" s="7" t="s">
        <v>40</v>
      </c>
      <c r="B6" s="11">
        <f>VLOOKUP(Task_2!A6,Dataset!A1:G40,7,FALSE)</f>
        <v>2.7</v>
      </c>
      <c r="C6" s="11">
        <f>VLOOKUP(A6,Dataset!A2:N40,14,FALSE)</f>
        <v>7.6</v>
      </c>
      <c r="D6" s="11">
        <f>VLOOKUP(A6,Dataset!A2:R40,18,FALSE)</f>
        <v>4.2</v>
      </c>
      <c r="E6" s="11">
        <f>VLOOKUP(A6,Dataset!A2:T40,20,FALSE)</f>
        <v>8.9</v>
      </c>
      <c r="F6" s="8">
        <f>VLOOKUP(A6,Dataset!A2:V40,22,FALSE)</f>
        <v>4.2</v>
      </c>
    </row>
    <row r="7" spans="1:7" ht="14.4" x14ac:dyDescent="0.3">
      <c r="A7" s="7" t="s">
        <v>4</v>
      </c>
      <c r="B7" s="11">
        <f>VLOOKUP(Task_2!A7,Dataset!A2:G41,7,FALSE)</f>
        <v>2.7</v>
      </c>
      <c r="C7" s="11">
        <f>VLOOKUP(A7,Dataset!A3:N41,14,FALSE)</f>
        <v>7.6</v>
      </c>
      <c r="D7" s="11">
        <f>VLOOKUP(A7,Dataset!A3:R41,18,FALSE)</f>
        <v>4.2</v>
      </c>
      <c r="E7" s="11">
        <f>VLOOKUP(A7,Dataset!A3:T41,20,FALSE)</f>
        <v>8.9</v>
      </c>
      <c r="F7" s="8">
        <f>VLOOKUP(A7,Dataset!A3:V41,22,FALSE)</f>
        <v>4.2</v>
      </c>
    </row>
    <row r="8" spans="1:7" ht="14.4" x14ac:dyDescent="0.3">
      <c r="A8" s="7" t="s">
        <v>7</v>
      </c>
      <c r="B8" s="11">
        <f>VLOOKUP(Task_2!A8,Dataset!A3:G42,7,FALSE)</f>
        <v>3.6</v>
      </c>
      <c r="C8" s="11">
        <f>VLOOKUP(A8,Dataset!A4:N42,14,FALSE)</f>
        <v>11.1</v>
      </c>
      <c r="D8" s="11">
        <f>VLOOKUP(A8,Dataset!A4:R42,18,FALSE)</f>
        <v>5.8</v>
      </c>
      <c r="E8" s="11">
        <f>VLOOKUP(A8,Dataset!A4:T42,20,FALSE)</f>
        <v>12.2</v>
      </c>
      <c r="F8" s="8">
        <f>VLOOKUP(A8,Dataset!A4:V42,22,FALSE)</f>
        <v>5.8</v>
      </c>
    </row>
    <row r="9" spans="1:7" ht="14.4" x14ac:dyDescent="0.3">
      <c r="A9" s="7" t="s">
        <v>8</v>
      </c>
      <c r="B9" s="11">
        <f>VLOOKUP(Task_2!A9,Dataset!A4:G43,7,FALSE)</f>
        <v>4.9000000000000004</v>
      </c>
      <c r="C9" s="11">
        <f>VLOOKUP(A9,Dataset!A5:N43,14,FALSE)</f>
        <v>13.3</v>
      </c>
      <c r="D9" s="11">
        <f>VLOOKUP(A9,Dataset!A5:R43,18,FALSE)</f>
        <v>8.1</v>
      </c>
      <c r="E9" s="11">
        <f>VLOOKUP(A9,Dataset!A5:T43,20,FALSE)</f>
        <v>17</v>
      </c>
      <c r="F9" s="8">
        <f>VLOOKUP(A9,Dataset!A5:V43,22,FALSE)</f>
        <v>8.1</v>
      </c>
    </row>
    <row r="10" spans="1:7" ht="14.4" x14ac:dyDescent="0.3">
      <c r="A10" s="7" t="s">
        <v>11</v>
      </c>
      <c r="B10" s="11">
        <f>VLOOKUP(Task_2!A10,Dataset!A5:G44,7,FALSE)</f>
        <v>9.4</v>
      </c>
      <c r="C10" s="11">
        <f>VLOOKUP(A10,Dataset!A6:N44,14,FALSE)</f>
        <v>28.3</v>
      </c>
      <c r="D10" s="11">
        <f>VLOOKUP(A10,Dataset!A6:R44,18,FALSE)</f>
        <v>16.100000000000001</v>
      </c>
      <c r="E10" s="11">
        <f>VLOOKUP(A10,Dataset!A6:T44,20,FALSE)</f>
        <v>32.799999999999997</v>
      </c>
      <c r="F10" s="8">
        <f>VLOOKUP(A10,Dataset!A6:V44,22,FALSE)</f>
        <v>16.100000000000001</v>
      </c>
    </row>
    <row r="11" spans="1:7" ht="14.4" x14ac:dyDescent="0.3">
      <c r="A11" s="7" t="s">
        <v>12</v>
      </c>
      <c r="B11" s="11">
        <f>VLOOKUP(Task_2!A11,Dataset!A6:G45,7,FALSE)</f>
        <v>11.6</v>
      </c>
      <c r="C11" s="11">
        <f>VLOOKUP(A11,Dataset!A7:N45,14,FALSE)</f>
        <v>35.200000000000003</v>
      </c>
      <c r="D11" s="11">
        <f>VLOOKUP(A11,Dataset!A7:R45,18,FALSE)</f>
        <v>21.3</v>
      </c>
      <c r="E11" s="11">
        <f>VLOOKUP(A11,Dataset!A7:T45,20,FALSE)</f>
        <v>43</v>
      </c>
      <c r="F11" s="8">
        <f>VLOOKUP(A11,Dataset!A7:V45,22,FALSE)</f>
        <v>21.3</v>
      </c>
    </row>
    <row r="12" spans="1:7" ht="14.4" x14ac:dyDescent="0.3">
      <c r="A12" s="7" t="s">
        <v>14</v>
      </c>
      <c r="B12" s="11">
        <f>VLOOKUP(Task_2!A12,Dataset!A7:G46,7,FALSE)</f>
        <v>18.399999999999999</v>
      </c>
      <c r="C12" s="11">
        <f>VLOOKUP(A12,Dataset!A8:N46,14,FALSE)</f>
        <v>55.6</v>
      </c>
      <c r="D12" s="11">
        <f>VLOOKUP(A12,Dataset!A8:R46,18,FALSE)</f>
        <v>33.799999999999997</v>
      </c>
      <c r="E12" s="11">
        <f>VLOOKUP(A12,Dataset!A8:T46,20,FALSE)</f>
        <v>67.900000000000006</v>
      </c>
      <c r="F12" s="8">
        <f>VLOOKUP(A12,Dataset!A8:V46,22,FALSE)</f>
        <v>33.799999999999997</v>
      </c>
    </row>
    <row r="13" spans="1:7" ht="14.4" x14ac:dyDescent="0.3">
      <c r="A13" s="7" t="s">
        <v>15</v>
      </c>
      <c r="B13" s="11">
        <f>VLOOKUP(Task_2!A13,Dataset!A8:G47,7,FALSE)</f>
        <v>0</v>
      </c>
      <c r="C13" s="11">
        <f>VLOOKUP(A13,Dataset!A9:N47,14,FALSE)</f>
        <v>0</v>
      </c>
      <c r="D13" s="11">
        <f>VLOOKUP(A13,Dataset!A9:R47,18,FALSE)</f>
        <v>0</v>
      </c>
      <c r="E13" s="11">
        <f>VLOOKUP(A13,Dataset!A9:T47,20,FALSE)</f>
        <v>0</v>
      </c>
      <c r="F13" s="8">
        <f>VLOOKUP(A13,Dataset!A9:V47,22,FALSE)</f>
        <v>0</v>
      </c>
    </row>
    <row r="14" spans="1:7" ht="14.4" x14ac:dyDescent="0.3">
      <c r="A14" s="7" t="s">
        <v>16</v>
      </c>
      <c r="B14" s="11">
        <f>VLOOKUP(Task_2!A14,Dataset!A9:G48,7,FALSE)</f>
        <v>21.9</v>
      </c>
      <c r="C14" s="11">
        <f>VLOOKUP(A14,Dataset!A10:N48,14,FALSE)</f>
        <v>61.5</v>
      </c>
      <c r="D14" s="11">
        <f>VLOOKUP(A14,Dataset!A10:R48,18,FALSE)</f>
        <v>40.1</v>
      </c>
      <c r="E14" s="11">
        <f>VLOOKUP(A14,Dataset!A10:T48,20,FALSE)</f>
        <v>76.599999999999994</v>
      </c>
      <c r="F14" s="8">
        <f>VLOOKUP(A14,Dataset!A10:V48,22,FALSE)</f>
        <v>40.1</v>
      </c>
    </row>
    <row r="15" spans="1:7" ht="14.4" x14ac:dyDescent="0.3">
      <c r="A15" s="7" t="s">
        <v>18</v>
      </c>
      <c r="B15" s="11">
        <f>VLOOKUP(Task_2!A15,Dataset!A10:G49,7,FALSE)</f>
        <v>26.8</v>
      </c>
      <c r="C15" s="11">
        <f>VLOOKUP(A15,Dataset!A11:N49,14,FALSE)</f>
        <v>79.599999999999994</v>
      </c>
      <c r="D15" s="11">
        <f>VLOOKUP(A15,Dataset!A11:R49,18,FALSE)</f>
        <v>47.9</v>
      </c>
      <c r="E15" s="11">
        <f>VLOOKUP(A15,Dataset!A11:T49,20,FALSE)</f>
        <v>96.8</v>
      </c>
      <c r="F15" s="8">
        <f>VLOOKUP(A15,Dataset!A11:V49,22,FALSE)</f>
        <v>47.9</v>
      </c>
    </row>
    <row r="16" spans="1:7" ht="14.4" x14ac:dyDescent="0.3">
      <c r="A16" s="7" t="s">
        <v>20</v>
      </c>
      <c r="B16" s="11">
        <f>VLOOKUP(Task_2!A16,Dataset!A11:G50,7,FALSE)</f>
        <v>28.5</v>
      </c>
      <c r="C16" s="11">
        <f>VLOOKUP(A16,Dataset!A12:N50,14,FALSE)</f>
        <v>85.4</v>
      </c>
      <c r="D16" s="11">
        <f>VLOOKUP(A16,Dataset!A12:R50,18,FALSE)</f>
        <v>52.3</v>
      </c>
      <c r="E16" s="11">
        <f>VLOOKUP(A16,Dataset!A12:T50,20,FALSE)</f>
        <v>106.1</v>
      </c>
      <c r="F16" s="8">
        <f>VLOOKUP(A16,Dataset!A12:V50,22,FALSE)</f>
        <v>52.3</v>
      </c>
    </row>
    <row r="17" spans="1:6" ht="14.4" x14ac:dyDescent="0.3">
      <c r="A17" s="7" t="s">
        <v>22</v>
      </c>
      <c r="B17" s="11">
        <f>VLOOKUP(Task_2!A17,Dataset!A12:G51,7,FALSE)</f>
        <v>30.7</v>
      </c>
      <c r="C17" s="11">
        <f>VLOOKUP(A17,Dataset!A13:N51,14,FALSE)</f>
        <v>92.1</v>
      </c>
      <c r="D17" s="11">
        <f>VLOOKUP(A17,Dataset!A13:R51,18,FALSE)</f>
        <v>57</v>
      </c>
      <c r="E17" s="11">
        <f>VLOOKUP(A17,Dataset!A13:T51,20,FALSE)</f>
        <v>115.1</v>
      </c>
      <c r="F17" s="8">
        <f>VLOOKUP(A17,Dataset!A13:V51,22,FALSE)</f>
        <v>57</v>
      </c>
    </row>
    <row r="18" spans="1:6" ht="14.4" x14ac:dyDescent="0.3">
      <c r="A18" s="7" t="s">
        <v>23</v>
      </c>
      <c r="B18" s="11">
        <f>VLOOKUP(Task_2!A18,Dataset!A13:G52,7,FALSE)</f>
        <v>33.799999999999997</v>
      </c>
      <c r="C18" s="11">
        <f>VLOOKUP(A18,Dataset!A14:N52,14,FALSE)</f>
        <v>101.3</v>
      </c>
      <c r="D18" s="11">
        <f>VLOOKUP(A18,Dataset!A14:R52,18,FALSE)</f>
        <v>61.4</v>
      </c>
      <c r="E18" s="11">
        <f>VLOOKUP(A18,Dataset!A14:T52,20,FALSE)</f>
        <v>124.4</v>
      </c>
      <c r="F18" s="8">
        <f>VLOOKUP(A18,Dataset!A14:V52,22,FALSE)</f>
        <v>61.4</v>
      </c>
    </row>
    <row r="19" spans="1:6" ht="14.4" x14ac:dyDescent="0.3">
      <c r="A19" s="7" t="s">
        <v>24</v>
      </c>
      <c r="B19" s="11">
        <f>VLOOKUP(Task_2!A19,Dataset!A14:G53,7,FALSE)</f>
        <v>34.700000000000003</v>
      </c>
      <c r="C19" s="11">
        <f>VLOOKUP(A19,Dataset!A15:N53,14,FALSE)</f>
        <v>106.1</v>
      </c>
      <c r="D19" s="11">
        <f>VLOOKUP(A19,Dataset!A15:R53,18,FALSE)</f>
        <v>63.6</v>
      </c>
      <c r="E19" s="11">
        <f>VLOOKUP(A19,Dataset!A15:T53,20,FALSE)</f>
        <v>128.6</v>
      </c>
      <c r="F19" s="8">
        <f>VLOOKUP(A19,Dataset!A15:V53,22,FALSE)</f>
        <v>63.6</v>
      </c>
    </row>
    <row r="20" spans="1:6" ht="14.4" x14ac:dyDescent="0.3">
      <c r="A20" s="7" t="s">
        <v>28</v>
      </c>
      <c r="B20" s="11">
        <f>VLOOKUP(Task_2!A20,Dataset!A15:G54,7,FALSE)</f>
        <v>0</v>
      </c>
      <c r="C20" s="11">
        <f>VLOOKUP(A20,Dataset!A16:N54,14,FALSE)</f>
        <v>0</v>
      </c>
      <c r="D20" s="11">
        <f>VLOOKUP(A20,Dataset!A16:R54,18,FALSE)</f>
        <v>0</v>
      </c>
      <c r="E20" s="11">
        <f>VLOOKUP(A20,Dataset!A16:T54,20,FALSE)</f>
        <v>0</v>
      </c>
      <c r="F20" s="8">
        <f>VLOOKUP(A20,Dataset!A16:V54,22,FALSE)</f>
        <v>0</v>
      </c>
    </row>
    <row r="21" spans="1:6" ht="14.4" x14ac:dyDescent="0.3">
      <c r="A21" s="7" t="s">
        <v>57</v>
      </c>
      <c r="B21" s="11">
        <f>VLOOKUP(Task_2!A21,Dataset!A16:G55,7,FALSE)</f>
        <v>41.3</v>
      </c>
      <c r="C21" s="11">
        <f>VLOOKUP(A21,Dataset!A17:N55,14,FALSE)</f>
        <v>124.4</v>
      </c>
      <c r="D21" s="11">
        <f>VLOOKUP(A21,Dataset!A17:R55,18,FALSE)</f>
        <v>75</v>
      </c>
      <c r="E21" s="11">
        <f>VLOOKUP(A21,Dataset!A17:T55,20,FALSE)</f>
        <v>151.5</v>
      </c>
      <c r="F21" s="8">
        <f>VLOOKUP(A21,Dataset!A17:V55,22,FALSE)</f>
        <v>75</v>
      </c>
    </row>
    <row r="22" spans="1:6" ht="14.4" x14ac:dyDescent="0.3">
      <c r="A22" s="7" t="s">
        <v>58</v>
      </c>
      <c r="B22" s="11">
        <f>VLOOKUP(Task_2!A22,Dataset!A17:G56,7,FALSE)</f>
        <v>-1</v>
      </c>
      <c r="C22" s="11">
        <f>VLOOKUP(A22,Dataset!A18:N56,14,FALSE)</f>
        <v>-1</v>
      </c>
      <c r="D22" s="11">
        <f>VLOOKUP(A22,Dataset!A18:R56,18,FALSE)</f>
        <v>-1</v>
      </c>
      <c r="E22" s="11">
        <f>VLOOKUP(A22,Dataset!A18:T56,20,FALSE)</f>
        <v>-1</v>
      </c>
      <c r="F22" s="8">
        <f>VLOOKUP(A22,Dataset!A18:V56,22,FALSE)</f>
        <v>-1</v>
      </c>
    </row>
    <row r="23" spans="1:6" ht="14.4" x14ac:dyDescent="0.3">
      <c r="A23" s="7" t="s">
        <v>31</v>
      </c>
      <c r="B23" s="11">
        <f>VLOOKUP(Task_2!A23,Dataset!A18:G57,7,FALSE)</f>
        <v>45</v>
      </c>
      <c r="C23" s="11">
        <f>VLOOKUP(A23,Dataset!A19:N57,14,FALSE)</f>
        <v>133.4</v>
      </c>
      <c r="D23" s="11">
        <f>VLOOKUP(A23,Dataset!A19:R57,18,FALSE)</f>
        <v>79.400000000000006</v>
      </c>
      <c r="E23" s="11">
        <f>VLOOKUP(A23,Dataset!A19:T57,20,FALSE)</f>
        <v>160.9</v>
      </c>
      <c r="F23" s="8">
        <f>VLOOKUP(A23,Dataset!A19:V57,22,FALSE)</f>
        <v>79.400000000000006</v>
      </c>
    </row>
    <row r="24" spans="1:6" ht="14.4" x14ac:dyDescent="0.3">
      <c r="A24" s="7" t="s">
        <v>32</v>
      </c>
      <c r="B24" s="11">
        <f>VLOOKUP(Task_2!A24,Dataset!A19:G58,7,FALSE)</f>
        <v>-1</v>
      </c>
      <c r="C24" s="11">
        <f>VLOOKUP(A24,Dataset!A20:N58,14,FALSE)</f>
        <v>-1</v>
      </c>
      <c r="D24" s="11">
        <f>VLOOKUP(A24,Dataset!A20:R58,18,FALSE)</f>
        <v>-1</v>
      </c>
      <c r="E24" s="11">
        <f>VLOOKUP(A24,Dataset!A20:T58,20,FALSE)</f>
        <v>-1</v>
      </c>
      <c r="F24" s="8">
        <f>VLOOKUP(A24,Dataset!A20:V58,22,FALSE)</f>
        <v>-1</v>
      </c>
    </row>
    <row r="25" spans="1:6" ht="14.4" x14ac:dyDescent="0.3">
      <c r="A25" s="7" t="s">
        <v>34</v>
      </c>
      <c r="B25" s="11">
        <f>VLOOKUP(Task_2!A25,Dataset!A20:G59,7,FALSE)</f>
        <v>43.3</v>
      </c>
      <c r="C25" s="11">
        <f>VLOOKUP(A25,Dataset!A21:N59,14,FALSE)</f>
        <v>128.6</v>
      </c>
      <c r="D25" s="11">
        <f>VLOOKUP(A25,Dataset!A21:R59,18,FALSE)</f>
        <v>79.400000000000006</v>
      </c>
      <c r="E25" s="11">
        <f>VLOOKUP(A25,Dataset!A21:T59,20,FALSE)</f>
        <v>160.9</v>
      </c>
      <c r="F25" s="8">
        <f>VLOOKUP(A25,Dataset!A21:V59,22,FALSE)</f>
        <v>79.400000000000006</v>
      </c>
    </row>
    <row r="26" spans="1:6" ht="14.4" x14ac:dyDescent="0.3">
      <c r="A26" s="7" t="s">
        <v>37</v>
      </c>
      <c r="B26" s="11">
        <f>VLOOKUP(Task_2!A26,Dataset!A21:G60,7,FALSE)</f>
        <v>49.1</v>
      </c>
      <c r="C26" s="11">
        <f>VLOOKUP(A26,Dataset!A22:N60,14,FALSE)</f>
        <v>146.80000000000001</v>
      </c>
      <c r="D26" s="11">
        <f>VLOOKUP(A26,Dataset!A22:R60,18,FALSE)</f>
        <v>90.9</v>
      </c>
      <c r="E26" s="11">
        <f>VLOOKUP(A26,Dataset!A22:T60,20,FALSE)</f>
        <v>183.5</v>
      </c>
      <c r="F26" s="8">
        <f>VLOOKUP(A26,Dataset!A22:V60,22,FALSE)</f>
        <v>90.9</v>
      </c>
    </row>
    <row r="27" spans="1:6" ht="14.4" x14ac:dyDescent="0.3">
      <c r="A27" s="7" t="s">
        <v>39</v>
      </c>
      <c r="B27" s="11">
        <f>VLOOKUP(Task_2!A27,Dataset!A22:G61,7,FALSE)</f>
        <v>51.8</v>
      </c>
      <c r="C27" s="11">
        <f>VLOOKUP(A27,Dataset!A23:N61,14,FALSE)</f>
        <v>156.4</v>
      </c>
      <c r="D27" s="11">
        <f>VLOOKUP(A27,Dataset!A23:R61,18,FALSE)</f>
        <v>93.1</v>
      </c>
      <c r="E27" s="11">
        <f>VLOOKUP(A27,Dataset!A23:T61,20,FALSE)</f>
        <v>188.1</v>
      </c>
      <c r="F27" s="8">
        <f>VLOOKUP(A27,Dataset!A23:V61,22,FALSE)</f>
        <v>93.1</v>
      </c>
    </row>
    <row r="28" spans="1:6" ht="14.4" x14ac:dyDescent="0.3">
      <c r="A28" s="18" t="s">
        <v>82</v>
      </c>
      <c r="B28" s="30">
        <f>MIN(B6:B27)</f>
        <v>-1</v>
      </c>
      <c r="C28" s="30">
        <f>MIN(C6:C27)</f>
        <v>-1</v>
      </c>
      <c r="D28" s="30">
        <f>MIN(D6:D27)</f>
        <v>-1</v>
      </c>
      <c r="E28" s="30">
        <f>MIN(E6:E27)</f>
        <v>-1</v>
      </c>
      <c r="F28" s="30">
        <f>MIN(F6:F27)</f>
        <v>-1</v>
      </c>
    </row>
    <row r="29" spans="1:6" ht="14.4" x14ac:dyDescent="0.3">
      <c r="A29" s="18" t="s">
        <v>83</v>
      </c>
      <c r="B29" s="30">
        <f>MAX(B6:B27)</f>
        <v>51.8</v>
      </c>
      <c r="C29" s="30">
        <f>MAX(C6:C27)</f>
        <v>156.4</v>
      </c>
      <c r="D29" s="30">
        <f>MAX(D6:D27)</f>
        <v>93.1</v>
      </c>
      <c r="E29" s="30">
        <f>MAX(E6:E27)</f>
        <v>188.1</v>
      </c>
      <c r="F29" s="30">
        <f>MAX(F6:F27)</f>
        <v>93.1</v>
      </c>
    </row>
    <row r="30" spans="1:6" ht="14.4" x14ac:dyDescent="0.3">
      <c r="A30" s="18" t="s">
        <v>84</v>
      </c>
      <c r="B30" s="30">
        <f>AVERAGE(B6:B27)</f>
        <v>20.827272727272728</v>
      </c>
      <c r="C30" s="30">
        <f>AVERAGE(C6:C27)</f>
        <v>62.377272727272725</v>
      </c>
      <c r="D30" s="30">
        <f>AVERAGE(D6:D27)</f>
        <v>37.800000000000004</v>
      </c>
      <c r="E30" s="30">
        <f>AVERAGE(E6:E27)</f>
        <v>76.418181818181822</v>
      </c>
      <c r="F30" s="30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P54"/>
  <sheetViews>
    <sheetView zoomScaleNormal="100" workbookViewId="0">
      <selection activeCell="I14" sqref="I14"/>
    </sheetView>
  </sheetViews>
  <sheetFormatPr defaultColWidth="11" defaultRowHeight="14.4" x14ac:dyDescent="0.3"/>
  <cols>
    <col min="1" max="1" width="39.77734375" style="1" bestFit="1" customWidth="1"/>
    <col min="2" max="2" width="8" style="1" customWidth="1"/>
    <col min="3" max="16384" width="11" style="1"/>
  </cols>
  <sheetData>
    <row r="1" spans="1:16" s="40" customFormat="1" ht="21" x14ac:dyDescent="0.4">
      <c r="A1" s="41" t="s">
        <v>56</v>
      </c>
      <c r="B1" s="40" t="s">
        <v>174</v>
      </c>
    </row>
    <row r="2" spans="1:16" customFormat="1" ht="13.2" x14ac:dyDescent="0.25"/>
    <row r="3" spans="1:16" s="2" customFormat="1" x14ac:dyDescent="0.3">
      <c r="B3" s="1"/>
    </row>
    <row r="4" spans="1:16" s="2" customFormat="1" x14ac:dyDescent="0.3">
      <c r="B4" s="1" t="s">
        <v>151</v>
      </c>
    </row>
    <row r="5" spans="1:16" ht="18" x14ac:dyDescent="0.35">
      <c r="A5" s="42" t="s">
        <v>53</v>
      </c>
      <c r="B5" s="39" t="s">
        <v>181</v>
      </c>
    </row>
    <row r="6" spans="1:16" ht="18" x14ac:dyDescent="0.35">
      <c r="A6" s="42" t="s">
        <v>153</v>
      </c>
      <c r="B6" s="49">
        <v>1</v>
      </c>
      <c r="C6" s="49" t="s">
        <v>178</v>
      </c>
      <c r="D6" s="49"/>
      <c r="E6" s="49"/>
      <c r="F6" s="49"/>
      <c r="G6" s="49"/>
      <c r="H6" s="49"/>
      <c r="I6" s="49"/>
      <c r="J6" s="49"/>
    </row>
    <row r="7" spans="1:16" ht="18" x14ac:dyDescent="0.35">
      <c r="A7" s="42"/>
      <c r="B7" s="49">
        <v>2</v>
      </c>
      <c r="C7" s="49" t="s">
        <v>179</v>
      </c>
      <c r="D7" s="49"/>
      <c r="E7" s="49"/>
      <c r="F7" s="49"/>
      <c r="G7" s="49"/>
      <c r="H7" s="49"/>
      <c r="I7" s="49"/>
      <c r="J7" s="49"/>
    </row>
    <row r="8" spans="1:16" x14ac:dyDescent="0.3">
      <c r="B8" s="49">
        <v>3</v>
      </c>
      <c r="C8" s="49" t="s">
        <v>180</v>
      </c>
      <c r="D8" s="49"/>
      <c r="E8" s="49"/>
      <c r="F8" s="49"/>
      <c r="G8" s="49"/>
      <c r="H8" s="49"/>
      <c r="I8" s="49"/>
      <c r="J8" s="49"/>
    </row>
    <row r="9" spans="1:16" ht="23.4" x14ac:dyDescent="0.45">
      <c r="A9" s="17" t="s">
        <v>165</v>
      </c>
      <c r="I9" s="2"/>
      <c r="J9" s="2"/>
    </row>
    <row r="10" spans="1:16" x14ac:dyDescent="0.3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6" x14ac:dyDescent="0.3">
      <c r="A11" s="9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6" ht="23.4" x14ac:dyDescent="0.45">
      <c r="A14" s="17" t="s">
        <v>162</v>
      </c>
      <c r="G14"/>
      <c r="H14"/>
      <c r="I14"/>
      <c r="J14"/>
      <c r="K14"/>
      <c r="L14"/>
      <c r="M14"/>
      <c r="N14"/>
      <c r="O14"/>
      <c r="P14"/>
    </row>
    <row r="15" spans="1:16" x14ac:dyDescent="0.3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  <c r="G15"/>
      <c r="H15"/>
      <c r="I15"/>
      <c r="J15"/>
      <c r="K15"/>
      <c r="L15"/>
      <c r="M15"/>
      <c r="N15"/>
      <c r="O15"/>
      <c r="P15"/>
    </row>
    <row r="16" spans="1:16" x14ac:dyDescent="0.3">
      <c r="A16" s="7" t="s">
        <v>121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  <c r="G16"/>
      <c r="H16"/>
      <c r="I16"/>
      <c r="J16"/>
      <c r="K16"/>
      <c r="L16"/>
      <c r="M16"/>
      <c r="N16"/>
      <c r="O16"/>
      <c r="P16"/>
    </row>
    <row r="17" spans="1:16" x14ac:dyDescent="0.3">
      <c r="A17" s="7" t="s">
        <v>122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  <c r="G17"/>
      <c r="H17"/>
      <c r="I17"/>
      <c r="J17"/>
      <c r="K17"/>
      <c r="L17"/>
      <c r="M17"/>
      <c r="N17"/>
      <c r="O17"/>
      <c r="P17"/>
    </row>
    <row r="18" spans="1:16" x14ac:dyDescent="0.3">
      <c r="A18" s="7" t="s">
        <v>123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  <c r="G18"/>
      <c r="H18"/>
      <c r="I18"/>
      <c r="J18"/>
      <c r="K18"/>
      <c r="L18"/>
      <c r="M18"/>
      <c r="N18"/>
      <c r="O18"/>
      <c r="P18"/>
    </row>
    <row r="19" spans="1:16" x14ac:dyDescent="0.3">
      <c r="A19" s="7" t="s">
        <v>124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  <c r="G19"/>
      <c r="H19"/>
      <c r="I19"/>
      <c r="J19"/>
      <c r="K19"/>
      <c r="L19"/>
      <c r="M19"/>
      <c r="N19"/>
      <c r="O19"/>
      <c r="P19"/>
    </row>
    <row r="20" spans="1:16" x14ac:dyDescent="0.3">
      <c r="A20" s="7" t="s">
        <v>125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  <c r="G20"/>
      <c r="H20"/>
      <c r="I20"/>
      <c r="J20"/>
      <c r="K20"/>
      <c r="L20"/>
      <c r="M20"/>
      <c r="N20"/>
      <c r="O20"/>
      <c r="P20"/>
    </row>
    <row r="21" spans="1:16" x14ac:dyDescent="0.3">
      <c r="A21" s="7" t="s">
        <v>126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  <c r="G21"/>
      <c r="H21"/>
      <c r="I21"/>
      <c r="J21"/>
      <c r="K21"/>
      <c r="L21"/>
      <c r="M21"/>
      <c r="N21"/>
      <c r="O21"/>
      <c r="P21"/>
    </row>
    <row r="22" spans="1:16" x14ac:dyDescent="0.3">
      <c r="A22" s="7" t="s">
        <v>127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16" x14ac:dyDescent="0.3">
      <c r="A23" s="7" t="s">
        <v>128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16" x14ac:dyDescent="0.3">
      <c r="A24" s="7" t="s">
        <v>129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16" x14ac:dyDescent="0.3">
      <c r="A25" s="7" t="s">
        <v>130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16" x14ac:dyDescent="0.3">
      <c r="A26" s="7" t="s">
        <v>131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16" x14ac:dyDescent="0.3">
      <c r="A27" s="7" t="s">
        <v>132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16" x14ac:dyDescent="0.3">
      <c r="A28" s="7" t="s">
        <v>133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16" x14ac:dyDescent="0.3">
      <c r="A29" s="7" t="s">
        <v>134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16" x14ac:dyDescent="0.3">
      <c r="A30" s="7" t="s">
        <v>135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16" x14ac:dyDescent="0.3">
      <c r="A31" s="7" t="s">
        <v>136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16" x14ac:dyDescent="0.3">
      <c r="A32" s="7" t="s">
        <v>137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3">
      <c r="A33" s="7" t="s">
        <v>138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3">
      <c r="A34" s="7" t="s">
        <v>139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3">
      <c r="A35" s="7" t="s">
        <v>140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3">
      <c r="A36" s="7" t="s">
        <v>141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3">
      <c r="A37" s="7" t="s">
        <v>142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3">
      <c r="A38" s="7" t="s">
        <v>143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3">
      <c r="A39" s="7" t="s">
        <v>144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3">
      <c r="A40" s="7" t="s">
        <v>145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3">
      <c r="A41" s="7" t="s">
        <v>146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3">
      <c r="A42" s="7" t="s">
        <v>147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3">
      <c r="A43" s="7" t="s">
        <v>148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3">
      <c r="A44" s="7" t="s">
        <v>149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3">
      <c r="A45" s="7" t="s">
        <v>150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3">
      <c r="A46" s="7" t="s">
        <v>112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3">
      <c r="A47" s="7" t="s">
        <v>113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3">
      <c r="A48" s="7" t="s">
        <v>114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3">
      <c r="A49" s="7" t="s">
        <v>115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3">
      <c r="A50" s="7" t="s">
        <v>116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3">
      <c r="A51" s="7" t="s">
        <v>117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3">
      <c r="A52" s="7" t="s">
        <v>118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3">
      <c r="A53" s="7" t="s">
        <v>119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3">
      <c r="A54" s="9" t="s">
        <v>120</v>
      </c>
      <c r="B54" s="12">
        <v>21016</v>
      </c>
      <c r="C54" s="12" t="s">
        <v>5</v>
      </c>
      <c r="D54" s="12">
        <v>0</v>
      </c>
      <c r="E54" s="12" t="s">
        <v>6</v>
      </c>
      <c r="F54" s="12">
        <v>24</v>
      </c>
    </row>
  </sheetData>
  <phoneticPr fontId="10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D22"/>
  <sheetViews>
    <sheetView zoomScaleNormal="100" workbookViewId="0">
      <selection activeCell="B9" sqref="B9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2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4" ht="21" x14ac:dyDescent="0.4">
      <c r="A1" s="41" t="s">
        <v>85</v>
      </c>
      <c r="B1" s="40" t="s">
        <v>167</v>
      </c>
    </row>
    <row r="2" spans="1:4" ht="18" x14ac:dyDescent="0.35">
      <c r="B2" s="39" t="s">
        <v>166</v>
      </c>
    </row>
    <row r="5" spans="1:4" ht="14.4" x14ac:dyDescent="0.3">
      <c r="B5" s="1" t="s">
        <v>151</v>
      </c>
    </row>
    <row r="6" spans="1:4" ht="14.4" x14ac:dyDescent="0.3">
      <c r="A6" s="3" t="s">
        <v>53</v>
      </c>
      <c r="B6" s="1"/>
    </row>
    <row r="7" spans="1:4" ht="14.4" x14ac:dyDescent="0.3">
      <c r="A7" s="3" t="s">
        <v>153</v>
      </c>
      <c r="B7" s="1" t="s">
        <v>183</v>
      </c>
    </row>
    <row r="8" spans="1:4" x14ac:dyDescent="0.3">
      <c r="B8" s="2" t="s">
        <v>184</v>
      </c>
    </row>
    <row r="10" spans="1:4" ht="23.4" x14ac:dyDescent="0.45">
      <c r="A10" s="17" t="s">
        <v>162</v>
      </c>
    </row>
    <row r="11" spans="1:4" ht="14.4" x14ac:dyDescent="0.3">
      <c r="A11" s="31" t="s">
        <v>86</v>
      </c>
      <c r="B11" s="16" t="s">
        <v>87</v>
      </c>
      <c r="C11" s="16" t="s">
        <v>88</v>
      </c>
      <c r="D11" s="25" t="s">
        <v>182</v>
      </c>
    </row>
    <row r="12" spans="1:4" ht="14.4" x14ac:dyDescent="0.3">
      <c r="A12" s="31">
        <v>44927</v>
      </c>
      <c r="B12" s="16" t="s">
        <v>59</v>
      </c>
      <c r="C12" s="16">
        <v>200</v>
      </c>
      <c r="D12" s="24">
        <f>_xlfn.IFNA(C12,20)</f>
        <v>200</v>
      </c>
    </row>
    <row r="13" spans="1:4" ht="14.4" x14ac:dyDescent="0.3">
      <c r="A13" s="31">
        <v>44928</v>
      </c>
      <c r="B13" s="16" t="s">
        <v>60</v>
      </c>
      <c r="C13" s="16" t="e">
        <v>#N/A</v>
      </c>
      <c r="D13" s="24">
        <f t="shared" ref="D13:D21" si="0">_xlfn.IFNA(C13,20)</f>
        <v>20</v>
      </c>
    </row>
    <row r="14" spans="1:4" ht="14.4" x14ac:dyDescent="0.3">
      <c r="A14" s="31">
        <v>44929</v>
      </c>
      <c r="B14" s="16" t="s">
        <v>61</v>
      </c>
      <c r="C14" s="16">
        <v>50</v>
      </c>
      <c r="D14" s="24">
        <f t="shared" si="0"/>
        <v>50</v>
      </c>
    </row>
    <row r="15" spans="1:4" ht="14.4" x14ac:dyDescent="0.3">
      <c r="A15" s="31">
        <v>44930</v>
      </c>
      <c r="B15" s="16" t="s">
        <v>62</v>
      </c>
      <c r="C15" s="16" t="e">
        <v>#N/A</v>
      </c>
      <c r="D15" s="24">
        <f t="shared" si="0"/>
        <v>20</v>
      </c>
    </row>
    <row r="16" spans="1:4" ht="14.4" x14ac:dyDescent="0.3">
      <c r="A16" s="31">
        <v>44931</v>
      </c>
      <c r="B16" s="16" t="s">
        <v>63</v>
      </c>
      <c r="C16" s="16">
        <v>10</v>
      </c>
      <c r="D16" s="24">
        <f t="shared" si="0"/>
        <v>10</v>
      </c>
    </row>
    <row r="17" spans="1:4" ht="14.4" x14ac:dyDescent="0.3">
      <c r="A17" s="31">
        <v>44932</v>
      </c>
      <c r="B17" s="16" t="s">
        <v>154</v>
      </c>
      <c r="C17" s="16">
        <v>150</v>
      </c>
      <c r="D17" s="24">
        <f t="shared" si="0"/>
        <v>150</v>
      </c>
    </row>
    <row r="18" spans="1:4" ht="14.4" x14ac:dyDescent="0.3">
      <c r="A18" s="31">
        <v>44933</v>
      </c>
      <c r="B18" s="16" t="s">
        <v>155</v>
      </c>
      <c r="C18" s="16">
        <v>80</v>
      </c>
      <c r="D18" s="24">
        <f t="shared" si="0"/>
        <v>80</v>
      </c>
    </row>
    <row r="19" spans="1:4" ht="14.4" x14ac:dyDescent="0.3">
      <c r="A19" s="31">
        <v>44934</v>
      </c>
      <c r="B19" s="16" t="s">
        <v>156</v>
      </c>
      <c r="C19" s="16" t="e">
        <v>#N/A</v>
      </c>
      <c r="D19" s="24">
        <f t="shared" si="0"/>
        <v>20</v>
      </c>
    </row>
    <row r="20" spans="1:4" ht="14.4" x14ac:dyDescent="0.3">
      <c r="A20" s="31">
        <v>44935</v>
      </c>
      <c r="B20" s="16" t="s">
        <v>157</v>
      </c>
      <c r="C20" s="16">
        <v>30</v>
      </c>
      <c r="D20" s="24">
        <f t="shared" si="0"/>
        <v>30</v>
      </c>
    </row>
    <row r="21" spans="1:4" ht="14.4" x14ac:dyDescent="0.3">
      <c r="A21" s="31">
        <v>44936</v>
      </c>
      <c r="B21" s="16" t="s">
        <v>158</v>
      </c>
      <c r="C21" s="16" t="e">
        <v>#N/A</v>
      </c>
      <c r="D21" s="24">
        <f t="shared" si="0"/>
        <v>20</v>
      </c>
    </row>
    <row r="22" spans="1:4" ht="14.4" x14ac:dyDescent="0.3">
      <c r="B22" s="16" t="s">
        <v>159</v>
      </c>
      <c r="C22" s="25">
        <f>SUM(D12:D21)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opLeftCell="A4" zoomScaleNormal="100" workbookViewId="0">
      <selection activeCell="G22" sqref="G22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1" t="s">
        <v>98</v>
      </c>
      <c r="B1" s="40" t="s">
        <v>175</v>
      </c>
    </row>
    <row r="3" spans="1:14" ht="14.4" x14ac:dyDescent="0.3">
      <c r="B3" s="1" t="s">
        <v>151</v>
      </c>
    </row>
    <row r="4" spans="1:14" ht="18" x14ac:dyDescent="0.35">
      <c r="A4" s="42" t="s">
        <v>53</v>
      </c>
      <c r="B4" s="1"/>
    </row>
    <row r="5" spans="1:14" ht="18" x14ac:dyDescent="0.35">
      <c r="A5" s="42" t="s">
        <v>153</v>
      </c>
      <c r="B5" s="1"/>
    </row>
    <row r="6" spans="1:14" ht="14.4" x14ac:dyDescent="0.3">
      <c r="A6" s="3"/>
      <c r="B6" s="1"/>
    </row>
    <row r="8" spans="1:14" ht="23.4" x14ac:dyDescent="0.45">
      <c r="A8" s="17" t="s">
        <v>162</v>
      </c>
      <c r="M8" s="17" t="s">
        <v>163</v>
      </c>
    </row>
    <row r="9" spans="1:14" ht="14.4" x14ac:dyDescent="0.3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4" x14ac:dyDescent="0.3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4" x14ac:dyDescent="0.3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4" x14ac:dyDescent="0.3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4" x14ac:dyDescent="0.3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4" x14ac:dyDescent="0.3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4" x14ac:dyDescent="0.3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4" x14ac:dyDescent="0.3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4" x14ac:dyDescent="0.3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4" x14ac:dyDescent="0.3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4" x14ac:dyDescent="0.45">
      <c r="A21" s="17" t="s">
        <v>168</v>
      </c>
    </row>
    <row r="22" spans="1:14" ht="14.4" x14ac:dyDescent="0.3">
      <c r="A22" s="13" t="s">
        <v>100</v>
      </c>
      <c r="B22" s="16" t="s">
        <v>101</v>
      </c>
      <c r="C22" s="15" t="s">
        <v>102</v>
      </c>
    </row>
    <row r="23" spans="1:14" ht="14.4" x14ac:dyDescent="0.3">
      <c r="A23" s="7">
        <v>10100</v>
      </c>
      <c r="B23" s="11">
        <v>10102</v>
      </c>
      <c r="C23" s="43"/>
    </row>
    <row r="24" spans="1:14" ht="14.4" x14ac:dyDescent="0.3">
      <c r="A24" s="7">
        <v>10100</v>
      </c>
      <c r="B24" s="11">
        <v>10104</v>
      </c>
      <c r="C24" s="43"/>
    </row>
    <row r="25" spans="1:14" ht="14.4" x14ac:dyDescent="0.3">
      <c r="A25" s="7">
        <v>10108</v>
      </c>
      <c r="B25" s="11">
        <v>10102</v>
      </c>
      <c r="C25" s="43"/>
    </row>
    <row r="26" spans="1:14" ht="14.4" x14ac:dyDescent="0.3">
      <c r="A26" s="7">
        <v>10100</v>
      </c>
      <c r="B26" s="11">
        <v>10106</v>
      </c>
      <c r="C26" s="43"/>
    </row>
    <row r="27" spans="1:14" ht="14.4" x14ac:dyDescent="0.3">
      <c r="A27" s="7">
        <v>10108</v>
      </c>
      <c r="B27" s="11">
        <v>10110</v>
      </c>
      <c r="C27" s="43"/>
    </row>
    <row r="28" spans="1:14" ht="14.4" x14ac:dyDescent="0.3">
      <c r="A28" s="7">
        <v>10102</v>
      </c>
      <c r="B28" s="11">
        <v>10104</v>
      </c>
      <c r="C28" s="43"/>
    </row>
    <row r="29" spans="1:14" ht="14.4" x14ac:dyDescent="0.3">
      <c r="A29" s="7">
        <v>10106</v>
      </c>
      <c r="B29" s="11">
        <v>10108</v>
      </c>
      <c r="C29" s="43"/>
    </row>
    <row r="30" spans="1:14" ht="14.4" x14ac:dyDescent="0.3">
      <c r="A30" s="7">
        <v>10102</v>
      </c>
      <c r="B30" s="11">
        <v>10106</v>
      </c>
      <c r="C30" s="43"/>
    </row>
    <row r="31" spans="1:14" ht="14.4" x14ac:dyDescent="0.3">
      <c r="A31" s="7">
        <v>10110</v>
      </c>
      <c r="B31" s="11">
        <v>10114</v>
      </c>
      <c r="C31" s="43"/>
    </row>
    <row r="32" spans="1:14" ht="14.4" x14ac:dyDescent="0.3">
      <c r="A32" s="7">
        <v>10104</v>
      </c>
      <c r="B32" s="11">
        <v>10106</v>
      </c>
      <c r="C32" s="43"/>
    </row>
    <row r="33" spans="1:3" ht="14.4" x14ac:dyDescent="0.3">
      <c r="A33" s="7">
        <v>10110</v>
      </c>
      <c r="B33" s="11">
        <v>10112</v>
      </c>
      <c r="C33" s="43"/>
    </row>
    <row r="34" spans="1:3" ht="14.4" x14ac:dyDescent="0.3">
      <c r="A34" s="7">
        <v>10100</v>
      </c>
      <c r="B34" s="11">
        <v>10114</v>
      </c>
      <c r="C34" s="43"/>
    </row>
    <row r="35" spans="1:3" ht="14.4" x14ac:dyDescent="0.3">
      <c r="A35" s="9">
        <v>10112</v>
      </c>
      <c r="B35" s="12">
        <v>10116</v>
      </c>
      <c r="C35" s="4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apurva ghume</cp:lastModifiedBy>
  <dcterms:created xsi:type="dcterms:W3CDTF">2015-02-10T17:33:11Z</dcterms:created>
  <dcterms:modified xsi:type="dcterms:W3CDTF">2023-12-10T11:32:00Z</dcterms:modified>
</cp:coreProperties>
</file>